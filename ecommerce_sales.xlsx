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PHASE 2\PROJECT 2\"/>
    </mc:Choice>
  </mc:AlternateContent>
  <xr:revisionPtr revIDLastSave="0" documentId="8_{257FBF07-6FEC-40DB-8454-45B79ED8A906}" xr6:coauthVersionLast="47" xr6:coauthVersionMax="47" xr10:uidLastSave="{00000000-0000-0000-0000-000000000000}"/>
  <bookViews>
    <workbookView xWindow="-108" yWindow="-108" windowWidth="23256" windowHeight="12456" xr2:uid="{170A9F6D-FA25-4ACD-A484-EEB6CD4C2716}"/>
  </bookViews>
  <sheets>
    <sheet name="Sheet1" sheetId="1" r:id="rId1"/>
  </sheets>
  <calcPr calcId="191029"/>
  <pivotCaches>
    <pivotCache cacheId="2" r:id="rId2"/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C19" i="1" a="1"/>
  <c r="C19" i="1" s="1"/>
  <c r="F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<sst xmlns="http://schemas.openxmlformats.org/spreadsheetml/2006/main" count="93" uniqueCount="28">
  <si>
    <t>order_id</t>
  </si>
  <si>
    <t>order_date</t>
  </si>
  <si>
    <t>customer</t>
  </si>
  <si>
    <t>city</t>
  </si>
  <si>
    <t>product</t>
  </si>
  <si>
    <t>category</t>
  </si>
  <si>
    <t>amount</t>
  </si>
  <si>
    <t>discount</t>
  </si>
  <si>
    <t>A</t>
  </si>
  <si>
    <t>Mumbai</t>
  </si>
  <si>
    <t>Laptop</t>
  </si>
  <si>
    <t>Electronics</t>
  </si>
  <si>
    <t>B</t>
  </si>
  <si>
    <t>Phone</t>
  </si>
  <si>
    <t>C</t>
  </si>
  <si>
    <t>Delhi</t>
  </si>
  <si>
    <t>Tablet</t>
  </si>
  <si>
    <t>Pune</t>
  </si>
  <si>
    <t>D</t>
  </si>
  <si>
    <t>E</t>
  </si>
  <si>
    <t>F</t>
  </si>
  <si>
    <t>final_amount</t>
  </si>
  <si>
    <t>total_revenue</t>
  </si>
  <si>
    <t>Row Labels</t>
  </si>
  <si>
    <t>Grand Total</t>
  </si>
  <si>
    <t>Sum of final_amount</t>
  </si>
  <si>
    <t>total_discount_given</t>
  </si>
  <si>
    <t xml:space="preserve">top 3 customers 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</si>
</sst>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1.669075694444" createdVersion="7" refreshedVersion="7" minRefreshableVersion="3" recordCount="15" xr:uid="{7EAD54D2-DE80-41A1-9D58-6BCB45F81AF6}">
  <cacheSource type="worksheet">
    <worksheetSource ref="A1:I16" sheet="Sheet1"/>
  </cacheSource>
  <cacheFields count="9">
    <cacheField name="order_id" numFmtId="0">
      <sharedItems containsSemiMixedTypes="0" containsString="0" containsNumber="1" containsInteger="1" minValue="1" maxValue="15"/>
    </cacheField>
    <cacheField name="order_date" numFmtId="14">
      <sharedItems containsSemiMixedTypes="0" containsNonDate="0" containsDate="1" containsString="0" minDate="2024-01-01T00:00:00" maxDate="2024-02-07T00:00:00"/>
    </cacheField>
    <cacheField name="customer" numFmtId="0">
      <sharedItems/>
    </cacheField>
    <cacheField name="city" numFmtId="0">
      <sharedItems count="3">
        <s v="Mumbai"/>
        <s v="Delhi"/>
        <s v="Pune"/>
      </sharedItems>
    </cacheField>
    <cacheField name="product" numFmtId="0">
      <sharedItems/>
    </cacheField>
    <cacheField name="category" numFmtId="0">
      <sharedItems/>
    </cacheField>
    <cacheField name="amount" numFmtId="0">
      <sharedItems containsSemiMixedTypes="0" containsString="0" containsNumber="1" containsInteger="1" minValue="8000" maxValue="70000"/>
    </cacheField>
    <cacheField name="discount" numFmtId="0">
      <sharedItems containsSemiMixedTypes="0" containsString="0" containsNumber="1" containsInteger="1" minValue="0" maxValue="7000"/>
    </cacheField>
    <cacheField name="final_amount" numFmtId="0">
      <sharedItems containsSemiMixedTypes="0" containsString="0" containsNumber="1" containsInteger="1" minValue="8000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1.670320254627" createdVersion="7" refreshedVersion="7" minRefreshableVersion="3" recordCount="15" xr:uid="{6FDB7F72-5A30-4A54-A42A-67F63F688E01}">
  <cacheSource type="worksheet">
    <worksheetSource ref="B1:I16" sheet="Sheet1"/>
  </cacheSource>
  <cacheFields count="8">
    <cacheField name="order_date" numFmtId="14">
      <sharedItems containsSemiMixedTypes="0" containsNonDate="0" containsDate="1" containsString="0" minDate="2024-01-01T00:00:00" maxDate="2024-02-07T00:00:00"/>
    </cacheField>
    <cacheField name="customer" numFmtId="0">
      <sharedItems count="6">
        <s v="A"/>
        <s v="B"/>
        <s v="C"/>
        <s v="D"/>
        <s v="E"/>
        <s v="F"/>
      </sharedItems>
    </cacheField>
    <cacheField name="city" numFmtId="0">
      <sharedItems/>
    </cacheField>
    <cacheField name="product" numFmtId="0">
      <sharedItems count="3">
        <s v="Laptop"/>
        <s v="Phone"/>
        <s v="Tablet"/>
      </sharedItems>
    </cacheField>
    <cacheField name="category" numFmtId="0">
      <sharedItems/>
    </cacheField>
    <cacheField name="amount" numFmtId="0">
      <sharedItems containsSemiMixedTypes="0" containsString="0" containsNumber="1" containsInteger="1" minValue="8000" maxValue="70000"/>
    </cacheField>
    <cacheField name="discount" numFmtId="0">
      <sharedItems containsSemiMixedTypes="0" containsString="0" containsNumber="1" containsInteger="1" minValue="0" maxValue="7000"/>
    </cacheField>
    <cacheField name="final_amount" numFmtId="0">
      <sharedItems containsSemiMixedTypes="0" containsString="0" containsNumber="1" containsInteger="1" minValue="8000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4-01-01T00:00:00"/>
    <s v="A"/>
    <x v="0"/>
    <s v="Laptop"/>
    <s v="Electronics"/>
    <n v="50000"/>
    <n v="5000"/>
    <n v="45000"/>
  </r>
  <r>
    <n v="2"/>
    <d v="2024-01-02T00:00:00"/>
    <s v="B"/>
    <x v="0"/>
    <s v="Phone"/>
    <s v="Electronics"/>
    <n v="30000"/>
    <n v="0"/>
    <n v="30000"/>
  </r>
  <r>
    <n v="3"/>
    <d v="2024-01-03T00:00:00"/>
    <s v="C"/>
    <x v="1"/>
    <s v="Tablet"/>
    <s v="Electronics"/>
    <n v="20000"/>
    <n v="2000"/>
    <n v="18000"/>
  </r>
  <r>
    <n v="4"/>
    <d v="2024-01-05T00:00:00"/>
    <s v="A"/>
    <x v="2"/>
    <s v="Phone"/>
    <s v="Electronics"/>
    <n v="15000"/>
    <n v="0"/>
    <n v="15000"/>
  </r>
  <r>
    <n v="5"/>
    <d v="2024-01-06T00:00:00"/>
    <s v="B"/>
    <x v="0"/>
    <s v="Laptop"/>
    <s v="Electronics"/>
    <n v="60000"/>
    <n v="6000"/>
    <n v="54000"/>
  </r>
  <r>
    <n v="6"/>
    <d v="2024-01-07T00:00:00"/>
    <s v="D"/>
    <x v="1"/>
    <s v="Tablet"/>
    <s v="Electronics"/>
    <n v="10000"/>
    <n v="1000"/>
    <n v="9000"/>
  </r>
  <r>
    <n v="7"/>
    <d v="2024-01-08T00:00:00"/>
    <s v="E"/>
    <x v="2"/>
    <s v="Phone"/>
    <s v="Electronics"/>
    <n v="12000"/>
    <n v="0"/>
    <n v="12000"/>
  </r>
  <r>
    <n v="8"/>
    <d v="2024-01-09T00:00:00"/>
    <s v="F"/>
    <x v="0"/>
    <s v="Laptop"/>
    <s v="Electronics"/>
    <n v="70000"/>
    <n v="7000"/>
    <n v="63000"/>
  </r>
  <r>
    <n v="9"/>
    <d v="2024-01-10T00:00:00"/>
    <s v="C"/>
    <x v="1"/>
    <s v="Phone"/>
    <s v="Electronics"/>
    <n v="25000"/>
    <n v="2500"/>
    <n v="22500"/>
  </r>
  <r>
    <n v="10"/>
    <d v="2024-01-11T00:00:00"/>
    <s v="E"/>
    <x v="2"/>
    <s v="Tablet"/>
    <s v="Electronics"/>
    <n v="8000"/>
    <n v="0"/>
    <n v="8000"/>
  </r>
  <r>
    <n v="11"/>
    <d v="2024-02-01T00:00:00"/>
    <s v="A"/>
    <x v="2"/>
    <s v="Laptop"/>
    <s v="Electronics"/>
    <n v="40000"/>
    <n v="4000"/>
    <n v="36000"/>
  </r>
  <r>
    <n v="12"/>
    <d v="2024-02-02T00:00:00"/>
    <s v="B"/>
    <x v="0"/>
    <s v="Phone"/>
    <s v="Electronics"/>
    <n v="20000"/>
    <n v="0"/>
    <n v="20000"/>
  </r>
  <r>
    <n v="13"/>
    <d v="2024-02-03T00:00:00"/>
    <s v="C"/>
    <x v="1"/>
    <s v="Laptop"/>
    <s v="Electronics"/>
    <n v="30000"/>
    <n v="3000"/>
    <n v="27000"/>
  </r>
  <r>
    <n v="14"/>
    <d v="2024-02-05T00:00:00"/>
    <s v="D"/>
    <x v="1"/>
    <s v="Phone"/>
    <s v="Electronics"/>
    <n v="15000"/>
    <n v="1500"/>
    <n v="13500"/>
  </r>
  <r>
    <n v="15"/>
    <d v="2024-02-06T00:00:00"/>
    <s v="E"/>
    <x v="2"/>
    <s v="Laptop"/>
    <s v="Electronics"/>
    <n v="35000"/>
    <n v="3500"/>
    <n v="31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4-01-01T00:00:00"/>
    <x v="0"/>
    <s v="Mumbai"/>
    <x v="0"/>
    <s v="Electronics"/>
    <n v="50000"/>
    <n v="5000"/>
    <n v="45000"/>
  </r>
  <r>
    <d v="2024-01-02T00:00:00"/>
    <x v="1"/>
    <s v="Mumbai"/>
    <x v="1"/>
    <s v="Electronics"/>
    <n v="30000"/>
    <n v="0"/>
    <n v="30000"/>
  </r>
  <r>
    <d v="2024-01-03T00:00:00"/>
    <x v="2"/>
    <s v="Delhi"/>
    <x v="2"/>
    <s v="Electronics"/>
    <n v="20000"/>
    <n v="2000"/>
    <n v="18000"/>
  </r>
  <r>
    <d v="2024-01-05T00:00:00"/>
    <x v="0"/>
    <s v="Pune"/>
    <x v="1"/>
    <s v="Electronics"/>
    <n v="15000"/>
    <n v="0"/>
    <n v="15000"/>
  </r>
  <r>
    <d v="2024-01-06T00:00:00"/>
    <x v="1"/>
    <s v="Mumbai"/>
    <x v="0"/>
    <s v="Electronics"/>
    <n v="60000"/>
    <n v="6000"/>
    <n v="54000"/>
  </r>
  <r>
    <d v="2024-01-07T00:00:00"/>
    <x v="3"/>
    <s v="Delhi"/>
    <x v="2"/>
    <s v="Electronics"/>
    <n v="10000"/>
    <n v="1000"/>
    <n v="9000"/>
  </r>
  <r>
    <d v="2024-01-08T00:00:00"/>
    <x v="4"/>
    <s v="Pune"/>
    <x v="1"/>
    <s v="Electronics"/>
    <n v="12000"/>
    <n v="0"/>
    <n v="12000"/>
  </r>
  <r>
    <d v="2024-01-09T00:00:00"/>
    <x v="5"/>
    <s v="Mumbai"/>
    <x v="0"/>
    <s v="Electronics"/>
    <n v="70000"/>
    <n v="7000"/>
    <n v="63000"/>
  </r>
  <r>
    <d v="2024-01-10T00:00:00"/>
    <x v="2"/>
    <s v="Delhi"/>
    <x v="1"/>
    <s v="Electronics"/>
    <n v="25000"/>
    <n v="2500"/>
    <n v="22500"/>
  </r>
  <r>
    <d v="2024-01-11T00:00:00"/>
    <x v="4"/>
    <s v="Pune"/>
    <x v="2"/>
    <s v="Electronics"/>
    <n v="8000"/>
    <n v="0"/>
    <n v="8000"/>
  </r>
  <r>
    <d v="2024-02-01T00:00:00"/>
    <x v="0"/>
    <s v="Pune"/>
    <x v="0"/>
    <s v="Electronics"/>
    <n v="40000"/>
    <n v="4000"/>
    <n v="36000"/>
  </r>
  <r>
    <d v="2024-02-02T00:00:00"/>
    <x v="1"/>
    <s v="Mumbai"/>
    <x v="1"/>
    <s v="Electronics"/>
    <n v="20000"/>
    <n v="0"/>
    <n v="20000"/>
  </r>
  <r>
    <d v="2024-02-03T00:00:00"/>
    <x v="2"/>
    <s v="Delhi"/>
    <x v="0"/>
    <s v="Electronics"/>
    <n v="30000"/>
    <n v="3000"/>
    <n v="27000"/>
  </r>
  <r>
    <d v="2024-02-05T00:00:00"/>
    <x v="3"/>
    <s v="Delhi"/>
    <x v="1"/>
    <s v="Electronics"/>
    <n v="15000"/>
    <n v="1500"/>
    <n v="13500"/>
  </r>
  <r>
    <d v="2024-02-06T00:00:00"/>
    <x v="4"/>
    <s v="Pune"/>
    <x v="0"/>
    <s v="Electronics"/>
    <n v="35000"/>
    <n v="3500"/>
    <n v="3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83F11-F1CE-49C5-94D9-6E2DD185DE4E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17:L21" firstHeaderRow="1" firstDataRow="1" firstDataCol="1"/>
  <pivotFields count="8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92C5-DEAD-4518-91FD-C5E03A5656FB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7:L14" firstHeaderRow="1" firstDataRow="1" firstDataCol="1"/>
  <pivotFields count="8"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F1663-03A4-4FA6-A4A8-C6D55FC8AFA8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1:L5" firstHeaderRow="1" firstDataRow="1" firstDataCol="1"/>
  <pivotFields count="9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EA05-C3A1-45C3-B109-6D4FEF73BD0C}">
  <dimension ref="A1:L21"/>
  <sheetViews>
    <sheetView tabSelected="1" zoomScale="135" workbookViewId="0">
      <selection activeCell="N12" sqref="N12"/>
    </sheetView>
  </sheetViews>
  <sheetFormatPr defaultRowHeight="14.4" x14ac:dyDescent="0.3"/>
  <cols>
    <col min="2" max="2" width="10.77734375" bestFit="1" customWidth="1"/>
    <col min="4" max="4" width="18.5546875" bestFit="1" customWidth="1"/>
    <col min="6" max="6" width="10.109375" bestFit="1" customWidth="1"/>
    <col min="11" max="11" width="12.5546875" bestFit="1" customWidth="1"/>
    <col min="12" max="12" width="19" bestFit="1" customWidth="1"/>
    <col min="14" max="14" width="12.5546875" bestFit="1" customWidth="1"/>
    <col min="15" max="15" width="1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K1" s="2" t="s">
        <v>23</v>
      </c>
      <c r="L1" t="s">
        <v>25</v>
      </c>
    </row>
    <row r="2" spans="1:12" x14ac:dyDescent="0.3">
      <c r="A2">
        <v>1</v>
      </c>
      <c r="B2" s="1">
        <v>45292</v>
      </c>
      <c r="C2" t="s">
        <v>8</v>
      </c>
      <c r="D2" t="s">
        <v>9</v>
      </c>
      <c r="E2" t="s">
        <v>10</v>
      </c>
      <c r="F2" t="s">
        <v>11</v>
      </c>
      <c r="G2">
        <v>50000</v>
      </c>
      <c r="H2">
        <v>5000</v>
      </c>
      <c r="I2">
        <f>G2-H2</f>
        <v>45000</v>
      </c>
      <c r="K2" s="3" t="s">
        <v>15</v>
      </c>
      <c r="L2" s="4">
        <v>90000</v>
      </c>
    </row>
    <row r="3" spans="1:12" x14ac:dyDescent="0.3">
      <c r="A3">
        <v>2</v>
      </c>
      <c r="B3" s="1">
        <v>45293</v>
      </c>
      <c r="C3" t="s">
        <v>12</v>
      </c>
      <c r="D3" t="s">
        <v>9</v>
      </c>
      <c r="E3" t="s">
        <v>13</v>
      </c>
      <c r="F3" t="s">
        <v>11</v>
      </c>
      <c r="G3">
        <v>30000</v>
      </c>
      <c r="H3">
        <v>0</v>
      </c>
      <c r="I3">
        <f t="shared" ref="I3:I16" si="0">G3-H3</f>
        <v>30000</v>
      </c>
      <c r="K3" s="3" t="s">
        <v>9</v>
      </c>
      <c r="L3" s="4">
        <v>212000</v>
      </c>
    </row>
    <row r="4" spans="1:12" x14ac:dyDescent="0.3">
      <c r="A4">
        <v>3</v>
      </c>
      <c r="B4" s="1">
        <v>45294</v>
      </c>
      <c r="C4" t="s">
        <v>14</v>
      </c>
      <c r="D4" t="s">
        <v>15</v>
      </c>
      <c r="E4" t="s">
        <v>16</v>
      </c>
      <c r="F4" t="s">
        <v>11</v>
      </c>
      <c r="G4">
        <v>20000</v>
      </c>
      <c r="H4">
        <v>2000</v>
      </c>
      <c r="I4">
        <f t="shared" si="0"/>
        <v>18000</v>
      </c>
      <c r="K4" s="3" t="s">
        <v>17</v>
      </c>
      <c r="L4" s="4">
        <v>102500</v>
      </c>
    </row>
    <row r="5" spans="1:12" x14ac:dyDescent="0.3">
      <c r="A5">
        <v>4</v>
      </c>
      <c r="B5" s="1">
        <v>45296</v>
      </c>
      <c r="C5" t="s">
        <v>8</v>
      </c>
      <c r="D5" t="s">
        <v>17</v>
      </c>
      <c r="E5" t="s">
        <v>13</v>
      </c>
      <c r="F5" t="s">
        <v>11</v>
      </c>
      <c r="G5">
        <v>15000</v>
      </c>
      <c r="H5">
        <v>0</v>
      </c>
      <c r="I5">
        <f t="shared" si="0"/>
        <v>15000</v>
      </c>
      <c r="K5" s="3" t="s">
        <v>24</v>
      </c>
      <c r="L5" s="4">
        <v>404500</v>
      </c>
    </row>
    <row r="6" spans="1:12" x14ac:dyDescent="0.3">
      <c r="A6">
        <v>5</v>
      </c>
      <c r="B6" s="1">
        <v>45297</v>
      </c>
      <c r="C6" t="s">
        <v>12</v>
      </c>
      <c r="D6" t="s">
        <v>9</v>
      </c>
      <c r="E6" t="s">
        <v>10</v>
      </c>
      <c r="F6" t="s">
        <v>11</v>
      </c>
      <c r="G6">
        <v>60000</v>
      </c>
      <c r="H6">
        <v>6000</v>
      </c>
      <c r="I6">
        <f t="shared" si="0"/>
        <v>54000</v>
      </c>
    </row>
    <row r="7" spans="1:12" x14ac:dyDescent="0.3">
      <c r="A7">
        <v>6</v>
      </c>
      <c r="B7" s="1">
        <v>45298</v>
      </c>
      <c r="C7" t="s">
        <v>18</v>
      </c>
      <c r="D7" t="s">
        <v>15</v>
      </c>
      <c r="E7" t="s">
        <v>16</v>
      </c>
      <c r="F7" t="s">
        <v>11</v>
      </c>
      <c r="G7">
        <v>10000</v>
      </c>
      <c r="H7">
        <v>1000</v>
      </c>
      <c r="I7">
        <f t="shared" si="0"/>
        <v>9000</v>
      </c>
      <c r="K7" s="2" t="s">
        <v>23</v>
      </c>
      <c r="L7" t="s">
        <v>25</v>
      </c>
    </row>
    <row r="8" spans="1:12" x14ac:dyDescent="0.3">
      <c r="A8">
        <v>7</v>
      </c>
      <c r="B8" s="1">
        <v>45299</v>
      </c>
      <c r="C8" t="s">
        <v>19</v>
      </c>
      <c r="D8" t="s">
        <v>17</v>
      </c>
      <c r="E8" t="s">
        <v>13</v>
      </c>
      <c r="F8" t="s">
        <v>11</v>
      </c>
      <c r="G8">
        <v>12000</v>
      </c>
      <c r="H8">
        <v>0</v>
      </c>
      <c r="I8">
        <f t="shared" si="0"/>
        <v>12000</v>
      </c>
      <c r="K8" s="3" t="s">
        <v>8</v>
      </c>
      <c r="L8" s="4">
        <v>96000</v>
      </c>
    </row>
    <row r="9" spans="1:12" x14ac:dyDescent="0.3">
      <c r="A9">
        <v>8</v>
      </c>
      <c r="B9" s="1">
        <v>45300</v>
      </c>
      <c r="C9" t="s">
        <v>20</v>
      </c>
      <c r="D9" t="s">
        <v>9</v>
      </c>
      <c r="E9" t="s">
        <v>10</v>
      </c>
      <c r="F9" t="s">
        <v>11</v>
      </c>
      <c r="G9">
        <v>70000</v>
      </c>
      <c r="H9">
        <v>7000</v>
      </c>
      <c r="I9">
        <f t="shared" si="0"/>
        <v>63000</v>
      </c>
      <c r="K9" s="3" t="s">
        <v>12</v>
      </c>
      <c r="L9" s="4">
        <v>104000</v>
      </c>
    </row>
    <row r="10" spans="1:12" x14ac:dyDescent="0.3">
      <c r="A10">
        <v>9</v>
      </c>
      <c r="B10" s="1">
        <v>45301</v>
      </c>
      <c r="C10" t="s">
        <v>14</v>
      </c>
      <c r="D10" t="s">
        <v>15</v>
      </c>
      <c r="E10" t="s">
        <v>13</v>
      </c>
      <c r="F10" t="s">
        <v>11</v>
      </c>
      <c r="G10">
        <v>25000</v>
      </c>
      <c r="H10">
        <v>2500</v>
      </c>
      <c r="I10">
        <f t="shared" si="0"/>
        <v>22500</v>
      </c>
      <c r="K10" s="3" t="s">
        <v>14</v>
      </c>
      <c r="L10" s="4">
        <v>67500</v>
      </c>
    </row>
    <row r="11" spans="1:12" x14ac:dyDescent="0.3">
      <c r="A11">
        <v>10</v>
      </c>
      <c r="B11" s="1">
        <v>45302</v>
      </c>
      <c r="C11" t="s">
        <v>19</v>
      </c>
      <c r="D11" t="s">
        <v>17</v>
      </c>
      <c r="E11" t="s">
        <v>16</v>
      </c>
      <c r="F11" t="s">
        <v>11</v>
      </c>
      <c r="G11">
        <v>8000</v>
      </c>
      <c r="H11">
        <v>0</v>
      </c>
      <c r="I11">
        <f t="shared" si="0"/>
        <v>8000</v>
      </c>
      <c r="K11" s="3" t="s">
        <v>18</v>
      </c>
      <c r="L11" s="4">
        <v>22500</v>
      </c>
    </row>
    <row r="12" spans="1:12" x14ac:dyDescent="0.3">
      <c r="A12">
        <v>11</v>
      </c>
      <c r="B12" s="1">
        <v>45323</v>
      </c>
      <c r="C12" t="s">
        <v>8</v>
      </c>
      <c r="D12" t="s">
        <v>17</v>
      </c>
      <c r="E12" t="s">
        <v>10</v>
      </c>
      <c r="F12" t="s">
        <v>11</v>
      </c>
      <c r="G12">
        <v>40000</v>
      </c>
      <c r="H12">
        <v>4000</v>
      </c>
      <c r="I12">
        <f t="shared" si="0"/>
        <v>36000</v>
      </c>
      <c r="K12" s="3" t="s">
        <v>19</v>
      </c>
      <c r="L12" s="4">
        <v>51500</v>
      </c>
    </row>
    <row r="13" spans="1:12" x14ac:dyDescent="0.3">
      <c r="A13">
        <v>12</v>
      </c>
      <c r="B13" s="1">
        <v>45324</v>
      </c>
      <c r="C13" t="s">
        <v>12</v>
      </c>
      <c r="D13" t="s">
        <v>9</v>
      </c>
      <c r="E13" t="s">
        <v>13</v>
      </c>
      <c r="F13" t="s">
        <v>11</v>
      </c>
      <c r="G13">
        <v>20000</v>
      </c>
      <c r="H13">
        <v>0</v>
      </c>
      <c r="I13">
        <f t="shared" si="0"/>
        <v>20000</v>
      </c>
      <c r="K13" s="3" t="s">
        <v>20</v>
      </c>
      <c r="L13" s="4">
        <v>63000</v>
      </c>
    </row>
    <row r="14" spans="1:12" x14ac:dyDescent="0.3">
      <c r="A14">
        <v>13</v>
      </c>
      <c r="B14" s="1">
        <v>45325</v>
      </c>
      <c r="C14" t="s">
        <v>14</v>
      </c>
      <c r="D14" t="s">
        <v>15</v>
      </c>
      <c r="E14" t="s">
        <v>10</v>
      </c>
      <c r="F14" t="s">
        <v>11</v>
      </c>
      <c r="G14">
        <v>30000</v>
      </c>
      <c r="H14">
        <v>3000</v>
      </c>
      <c r="I14">
        <f t="shared" si="0"/>
        <v>27000</v>
      </c>
      <c r="K14" s="3" t="s">
        <v>24</v>
      </c>
      <c r="L14" s="4">
        <v>404500</v>
      </c>
    </row>
    <row r="15" spans="1:12" x14ac:dyDescent="0.3">
      <c r="A15">
        <v>14</v>
      </c>
      <c r="B15" s="1">
        <v>45327</v>
      </c>
      <c r="C15" t="s">
        <v>18</v>
      </c>
      <c r="D15" t="s">
        <v>15</v>
      </c>
      <c r="E15" t="s">
        <v>13</v>
      </c>
      <c r="F15" t="s">
        <v>11</v>
      </c>
      <c r="G15">
        <v>15000</v>
      </c>
      <c r="H15">
        <v>1500</v>
      </c>
      <c r="I15">
        <f t="shared" si="0"/>
        <v>13500</v>
      </c>
    </row>
    <row r="16" spans="1:12" x14ac:dyDescent="0.3">
      <c r="A16">
        <v>15</v>
      </c>
      <c r="B16" s="1">
        <v>45328</v>
      </c>
      <c r="C16" t="s">
        <v>19</v>
      </c>
      <c r="D16" t="s">
        <v>17</v>
      </c>
      <c r="E16" t="s">
        <v>10</v>
      </c>
      <c r="F16" t="s">
        <v>11</v>
      </c>
      <c r="G16">
        <v>35000</v>
      </c>
      <c r="H16">
        <v>3500</v>
      </c>
      <c r="I16">
        <f t="shared" si="0"/>
        <v>31500</v>
      </c>
    </row>
    <row r="17" spans="1:12" x14ac:dyDescent="0.3">
      <c r="K17" s="2" t="s">
        <v>23</v>
      </c>
      <c r="L17" t="s">
        <v>25</v>
      </c>
    </row>
    <row r="18" spans="1:12" x14ac:dyDescent="0.3">
      <c r="K18" s="3" t="s">
        <v>10</v>
      </c>
      <c r="L18" s="4">
        <v>256500</v>
      </c>
    </row>
    <row r="19" spans="1:12" x14ac:dyDescent="0.3">
      <c r="A19" t="s">
        <v>27</v>
      </c>
      <c r="C19" t="str" cm="1">
        <f t="array" ref="C19:C21">_xlfn._xlws.FILTER(K8:K13,L8:L13 &gt;=LARGE(L8:L13,3))</f>
        <v>A</v>
      </c>
      <c r="D19" t="s">
        <v>22</v>
      </c>
      <c r="F19">
        <f>SUM(I2:I16)</f>
        <v>404500</v>
      </c>
      <c r="K19" s="3" t="s">
        <v>13</v>
      </c>
      <c r="L19" s="4">
        <v>113000</v>
      </c>
    </row>
    <row r="20" spans="1:12" x14ac:dyDescent="0.3">
      <c r="C20" t="str">
        <v>B</v>
      </c>
      <c r="K20" s="3" t="s">
        <v>16</v>
      </c>
      <c r="L20" s="4">
        <v>35000</v>
      </c>
    </row>
    <row r="21" spans="1:12" x14ac:dyDescent="0.3">
      <c r="C21" t="str">
        <v>C</v>
      </c>
      <c r="D21" t="s">
        <v>26</v>
      </c>
      <c r="E21">
        <f>SUM(H2:H16)</f>
        <v>35500</v>
      </c>
      <c r="K21" s="3" t="s">
        <v>24</v>
      </c>
      <c r="L21" s="4">
        <v>404500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2026-05-29T10:28:19Z</dcterms:created>
  <dcterms:modified xsi:type="dcterms:W3CDTF">2026-05-29T12:07:35Z</dcterms:modified>
</cp:coreProperties>
</file>